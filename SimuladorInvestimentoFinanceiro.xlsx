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ados a serem analisados\DIO\Projetos Que Não São Dados\Simulador de Investimentos\"/>
    </mc:Choice>
  </mc:AlternateContent>
  <xr:revisionPtr revIDLastSave="0" documentId="13_ncr:1_{2B4B27DE-8A30-4460-90C8-1F96D35787DF}" xr6:coauthVersionLast="47" xr6:coauthVersionMax="47" xr10:uidLastSave="{00000000-0000-0000-0000-000000000000}"/>
  <bookViews>
    <workbookView xWindow="-120" yWindow="-120" windowWidth="15600" windowHeight="11760" tabRatio="599" xr2:uid="{00000000-000D-0000-FFFF-FFFF00000000}"/>
  </bookViews>
  <sheets>
    <sheet name="capital_invest" sheetId="1" r:id="rId1"/>
    <sheet name="Apoio" sheetId="2" r:id="rId2"/>
  </sheets>
  <definedNames>
    <definedName name="aporte">capital_invest!$D$18</definedName>
    <definedName name="periodo_em_anos">capital_invest!$D$19</definedName>
    <definedName name="qnt_quero_investir">capital_invest!$D$18</definedName>
    <definedName name="rendimento_carteira">capital_invest!$D$13</definedName>
    <definedName name="sugestao_aporte">capital_invest!$D$14</definedName>
    <definedName name="sugestao_investimento">capital_invest!$D$14</definedName>
    <definedName name="taxa_rendimento_mensal">capital_invest!$D$20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D22" i="1" s="1"/>
  <c r="C30" i="1"/>
  <c r="D30" i="1" s="1"/>
  <c r="C29" i="1"/>
  <c r="D29" i="1" s="1"/>
  <c r="C28" i="1"/>
  <c r="D28" i="1" s="1"/>
  <c r="C27" i="1"/>
  <c r="D27" i="1" s="1"/>
  <c r="C26" i="1"/>
  <c r="D26" i="1" s="1"/>
  <c r="C38" i="1"/>
  <c r="D38" i="1" s="1"/>
  <c r="C39" i="1"/>
  <c r="D39" i="1" s="1"/>
  <c r="C40" i="1"/>
  <c r="D40" i="1" s="1"/>
  <c r="C41" i="1"/>
  <c r="D41" i="1" s="1"/>
  <c r="C42" i="1"/>
  <c r="D42" i="1" s="1"/>
  <c r="C37" i="1"/>
  <c r="D37" i="1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D34" i="1"/>
  <c r="D14" i="1"/>
  <c r="D43" i="1" l="1"/>
</calcChain>
</file>

<file path=xl/sharedStrings.xml><?xml version="1.0" encoding="utf-8"?>
<sst xmlns="http://schemas.openxmlformats.org/spreadsheetml/2006/main" count="71" uniqueCount="37">
  <si>
    <t>INVESTIMENTO MENSAL</t>
  </si>
  <si>
    <t>Taxa de rendimento mensal</t>
  </si>
  <si>
    <t>Patrímonio acumulado</t>
  </si>
  <si>
    <t>Dividendos Mensais</t>
  </si>
  <si>
    <t>Período em anos</t>
  </si>
  <si>
    <t>Quanto quero investir por mês</t>
  </si>
  <si>
    <t>Quanto em 10 anos eu teria</t>
  </si>
  <si>
    <t>Quanto em 20 anos eu teria</t>
  </si>
  <si>
    <t>Quanto em 30 anos eu teria</t>
  </si>
  <si>
    <t>CENÁRIOS</t>
  </si>
  <si>
    <t>CONFIGURAÇÃO</t>
  </si>
  <si>
    <t>Salário</t>
  </si>
  <si>
    <t>Rendimento Carteira</t>
  </si>
  <si>
    <t>Quanto em 2 anos eu teria</t>
  </si>
  <si>
    <t>Quanto em 5 anos eu teria</t>
  </si>
  <si>
    <t>Perfil de Investidor</t>
  </si>
  <si>
    <t>Valor a ser investido mensalmente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</si>
  <si>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</si>
  <si>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</si>
  <si>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</si>
  <si>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</si>
  <si>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</si>
  <si>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</si>
  <si>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</si>
  <si>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</si>
  <si>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</si>
  <si>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</si>
  <si>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Total</t>
  </si>
  <si>
    <t>Tipo FII</t>
  </si>
  <si>
    <t>Perfil</t>
  </si>
  <si>
    <t>%</t>
  </si>
  <si>
    <t>Chave Composta</t>
  </si>
  <si>
    <t>Moderado</t>
  </si>
  <si>
    <t>Agressivo</t>
  </si>
  <si>
    <t>Sugestão de Investimento (30%)</t>
  </si>
  <si>
    <t>DIVIDENDO</t>
  </si>
  <si>
    <t>PATRIMÔNIO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</si>
</sst>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rgb="FF008000"/>
      <name val="Calibri"/>
      <family val="2"/>
      <scheme val="minor"/>
    </font>
    <font>
      <sz val="14"/>
      <color rgb="FF008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indexed="64"/>
      </right>
      <top/>
      <bottom style="thin">
        <color theme="2" tint="-0.74999237037263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82">
    <xf numFmtId="0" fontId="0" fillId="0" borderId="0" xfId="0"/>
    <xf numFmtId="0" fontId="6" fillId="7" borderId="1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9" fontId="0" fillId="0" borderId="24" xfId="2" applyFont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9" fontId="0" fillId="0" borderId="3" xfId="0" applyNumberFormat="1" applyBorder="1" applyAlignment="1">
      <alignment horizontal="center" vertical="center"/>
    </xf>
    <xf numFmtId="9" fontId="0" fillId="0" borderId="24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left" vertical="center" indent="2"/>
    </xf>
    <xf numFmtId="8" fontId="7" fillId="4" borderId="30" xfId="0" applyNumberFormat="1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left" vertical="center" indent="2"/>
    </xf>
    <xf numFmtId="8" fontId="7" fillId="4" borderId="31" xfId="0" applyNumberFormat="1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left" vertical="center" indent="2"/>
    </xf>
    <xf numFmtId="8" fontId="7" fillId="4" borderId="32" xfId="0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left" vertical="center" indent="2"/>
    </xf>
    <xf numFmtId="9" fontId="7" fillId="4" borderId="11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left" vertical="center" indent="2"/>
    </xf>
    <xf numFmtId="9" fontId="7" fillId="4" borderId="15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 indent="2"/>
    </xf>
    <xf numFmtId="9" fontId="7" fillId="4" borderId="16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164" fontId="7" fillId="4" borderId="12" xfId="0" applyNumberFormat="1" applyFont="1" applyFill="1" applyBorder="1" applyAlignment="1">
      <alignment horizontal="center" vertical="center"/>
    </xf>
    <xf numFmtId="164" fontId="7" fillId="4" borderId="13" xfId="0" applyNumberFormat="1" applyFont="1" applyFill="1" applyBorder="1" applyAlignment="1">
      <alignment horizontal="center" vertical="center"/>
    </xf>
    <xf numFmtId="0" fontId="10" fillId="4" borderId="12" xfId="3" applyFont="1" applyFill="1" applyBorder="1" applyAlignment="1">
      <alignment horizontal="left" vertical="center" indent="2"/>
    </xf>
    <xf numFmtId="0" fontId="10" fillId="4" borderId="9" xfId="3" applyFont="1" applyFill="1" applyBorder="1" applyAlignment="1">
      <alignment horizontal="left" vertical="center" indent="2"/>
    </xf>
    <xf numFmtId="0" fontId="10" fillId="2" borderId="10" xfId="3" applyFont="1" applyBorder="1" applyAlignment="1">
      <alignment horizontal="left" vertical="center" indent="2"/>
    </xf>
    <xf numFmtId="0" fontId="10" fillId="2" borderId="8" xfId="3" applyFont="1" applyBorder="1" applyAlignment="1">
      <alignment horizontal="left" vertical="center" indent="2"/>
    </xf>
    <xf numFmtId="0" fontId="5" fillId="6" borderId="25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8" fontId="7" fillId="4" borderId="0" xfId="0" applyNumberFormat="1" applyFont="1" applyFill="1" applyAlignment="1">
      <alignment horizontal="center" vertical="center"/>
    </xf>
    <xf numFmtId="8" fontId="7" fillId="4" borderId="29" xfId="0" applyNumberFormat="1" applyFont="1" applyFill="1" applyBorder="1" applyAlignment="1">
      <alignment horizontal="center" vertical="center"/>
    </xf>
    <xf numFmtId="0" fontId="7" fillId="0" borderId="38" xfId="0" applyFont="1" applyBorder="1" applyAlignment="1">
      <alignment horizontal="left" vertical="center" indent="2"/>
    </xf>
    <xf numFmtId="0" fontId="7" fillId="0" borderId="28" xfId="0" applyFont="1" applyBorder="1" applyAlignment="1">
      <alignment horizontal="left" vertical="center" indent="2"/>
    </xf>
    <xf numFmtId="164" fontId="7" fillId="0" borderId="0" xfId="1" applyNumberFormat="1" applyFont="1" applyBorder="1" applyAlignment="1" applyProtection="1">
      <alignment horizontal="center" vertical="center"/>
      <protection locked="0"/>
    </xf>
    <xf numFmtId="164" fontId="7" fillId="0" borderId="29" xfId="1" applyNumberFormat="1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>
      <alignment horizontal="left" vertical="center" indent="2"/>
    </xf>
    <xf numFmtId="0" fontId="7" fillId="0" borderId="29" xfId="0" applyFont="1" applyBorder="1" applyAlignment="1">
      <alignment horizontal="left" vertical="center" indent="2"/>
    </xf>
    <xf numFmtId="1" fontId="7" fillId="0" borderId="0" xfId="0" applyNumberFormat="1" applyFont="1" applyAlignment="1" applyProtection="1">
      <alignment horizontal="center" vertical="center"/>
      <protection locked="0"/>
    </xf>
    <xf numFmtId="1" fontId="7" fillId="0" borderId="29" xfId="0" applyNumberFormat="1" applyFont="1" applyBorder="1" applyAlignment="1" applyProtection="1">
      <alignment horizontal="center" vertical="center"/>
      <protection locked="0"/>
    </xf>
    <xf numFmtId="10" fontId="7" fillId="0" borderId="0" xfId="2" applyNumberFormat="1" applyFont="1" applyBorder="1" applyAlignment="1" applyProtection="1">
      <alignment horizontal="center" vertical="center"/>
      <protection locked="0"/>
    </xf>
    <xf numFmtId="10" fontId="7" fillId="0" borderId="29" xfId="2" applyNumberFormat="1" applyFont="1" applyBorder="1" applyAlignment="1" applyProtection="1">
      <alignment horizontal="center" vertical="center"/>
      <protection locked="0"/>
    </xf>
    <xf numFmtId="0" fontId="8" fillId="5" borderId="17" xfId="0" applyFont="1" applyFill="1" applyBorder="1" applyAlignment="1">
      <alignment horizontal="left" vertical="center" indent="2"/>
    </xf>
    <xf numFmtId="0" fontId="8" fillId="5" borderId="19" xfId="0" applyFont="1" applyFill="1" applyBorder="1" applyAlignment="1">
      <alignment horizontal="left" vertical="center" indent="2"/>
    </xf>
    <xf numFmtId="164" fontId="8" fillId="5" borderId="19" xfId="0" applyNumberFormat="1" applyFont="1" applyFill="1" applyBorder="1" applyAlignment="1">
      <alignment horizontal="center" vertical="center"/>
    </xf>
    <xf numFmtId="164" fontId="7" fillId="0" borderId="33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4" borderId="34" xfId="0" applyNumberFormat="1" applyFont="1" applyFill="1" applyBorder="1" applyAlignment="1">
      <alignment horizontal="center" vertical="center"/>
    </xf>
    <xf numFmtId="164" fontId="7" fillId="4" borderId="35" xfId="0" applyNumberFormat="1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left" vertical="center" indent="2"/>
    </xf>
    <xf numFmtId="0" fontId="7" fillId="4" borderId="35" xfId="0" applyFont="1" applyFill="1" applyBorder="1" applyAlignment="1">
      <alignment horizontal="left" vertical="center" indent="2"/>
    </xf>
    <xf numFmtId="164" fontId="7" fillId="4" borderId="10" xfId="0" applyNumberFormat="1" applyFont="1" applyFill="1" applyBorder="1" applyAlignment="1">
      <alignment horizontal="center" vertical="center"/>
    </xf>
    <xf numFmtId="164" fontId="7" fillId="4" borderId="11" xfId="0" applyNumberFormat="1" applyFont="1" applyFill="1" applyBorder="1" applyAlignment="1">
      <alignment horizontal="center" vertical="center"/>
    </xf>
    <xf numFmtId="164" fontId="7" fillId="4" borderId="18" xfId="0" applyNumberFormat="1" applyFont="1" applyFill="1" applyBorder="1" applyAlignment="1">
      <alignment horizontal="center" vertical="center"/>
    </xf>
    <xf numFmtId="164" fontId="7" fillId="4" borderId="14" xfId="0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8" fontId="7" fillId="4" borderId="33" xfId="0" applyNumberFormat="1" applyFont="1" applyFill="1" applyBorder="1" applyAlignment="1">
      <alignment horizontal="center" vertical="center"/>
    </xf>
    <xf numFmtId="8" fontId="7" fillId="4" borderId="28" xfId="0" applyNumberFormat="1" applyFont="1" applyFill="1" applyBorder="1" applyAlignment="1">
      <alignment horizontal="center" vertical="center"/>
    </xf>
    <xf numFmtId="8" fontId="7" fillId="4" borderId="34" xfId="0" applyNumberFormat="1" applyFont="1" applyFill="1" applyBorder="1" applyAlignment="1">
      <alignment horizontal="center" vertical="center"/>
    </xf>
    <xf numFmtId="8" fontId="7" fillId="4" borderId="35" xfId="0" applyNumberFormat="1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left" vertical="center" indent="2"/>
    </xf>
    <xf numFmtId="0" fontId="7" fillId="4" borderId="29" xfId="0" applyFont="1" applyFill="1" applyBorder="1" applyAlignment="1">
      <alignment horizontal="left" vertical="center" indent="2"/>
    </xf>
    <xf numFmtId="0" fontId="11" fillId="2" borderId="8" xfId="3" applyFont="1" applyBorder="1" applyAlignment="1" applyProtection="1">
      <alignment horizontal="center" vertical="center"/>
      <protection locked="0"/>
    </xf>
    <xf numFmtId="0" fontId="11" fillId="2" borderId="11" xfId="3" applyFont="1" applyBorder="1" applyAlignment="1" applyProtection="1">
      <alignment horizontal="center" vertical="center"/>
      <protection locked="0"/>
    </xf>
    <xf numFmtId="164" fontId="11" fillId="4" borderId="9" xfId="3" applyNumberFormat="1" applyFont="1" applyFill="1" applyBorder="1" applyAlignment="1">
      <alignment horizontal="center" vertical="center"/>
    </xf>
    <xf numFmtId="164" fontId="11" fillId="4" borderId="13" xfId="3" applyNumberFormat="1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</cellXfs>
  <cellStyles count="4">
    <cellStyle name="Bom" xfId="3" builtinId="26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8000"/>
      <color rgb="FF8EEA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57-460B-AC53-B8AAB3F8A1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57-460B-AC53-B8AAB3F8A1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57-460B-AC53-B8AAB3F8A1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57-460B-AC53-B8AAB3F8A1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57-460B-AC53-B8AAB3F8A1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57-460B-AC53-B8AAB3F8A1B9}"/>
              </c:ext>
            </c:extLst>
          </c:dPt>
          <c:cat>
            <c:strRef>
              <c:f>capital_invest!$B$37:$B$42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capital_invest!$C$37:$C$42</c:f>
              <c:numCache>
                <c:formatCode>0%</c:formatCode>
                <c:ptCount val="6"/>
                <c:pt idx="0">
                  <c:v>0.2</c:v>
                </c:pt>
                <c:pt idx="1">
                  <c:v>0.6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F-492F-AA4B-467CE67320F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57-460B-AC53-B8AAB3F8A1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57-460B-AC53-B8AAB3F8A1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57-460B-AC53-B8AAB3F8A1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57-460B-AC53-B8AAB3F8A1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557-460B-AC53-B8AAB3F8A1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557-460B-AC53-B8AAB3F8A1B9}"/>
              </c:ext>
            </c:extLst>
          </c:dPt>
          <c:cat>
            <c:strRef>
              <c:f>capital_invest!$B$37:$B$42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capital_invest!$D$37:$D$42</c:f>
              <c:numCache>
                <c:formatCode>"R$"\ #,##0.00</c:formatCode>
                <c:ptCount val="6"/>
                <c:pt idx="0">
                  <c:v>96</c:v>
                </c:pt>
                <c:pt idx="1">
                  <c:v>288</c:v>
                </c:pt>
                <c:pt idx="2">
                  <c:v>48</c:v>
                </c:pt>
                <c:pt idx="3">
                  <c:v>48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F-492F-AA4B-467CE67320F5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557-460B-AC53-B8AAB3F8A1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557-460B-AC53-B8AAB3F8A1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57-460B-AC53-B8AAB3F8A1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557-460B-AC53-B8AAB3F8A1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557-460B-AC53-B8AAB3F8A1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557-460B-AC53-B8AAB3F8A1B9}"/>
              </c:ext>
            </c:extLst>
          </c:dPt>
          <c:cat>
            <c:strRef>
              <c:f>capital_invest!$B$37:$B$42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capital_invest!$E$37:$E$42</c:f>
              <c:numCache>
                <c:formatCode>"R$"\ #,##0.00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491F-492F-AA4B-467CE6732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599291</xdr:colOff>
      <xdr:row>1</xdr:row>
      <xdr:rowOff>21167</xdr:rowOff>
    </xdr:from>
    <xdr:to>
      <xdr:col>4</xdr:col>
      <xdr:colOff>690076</xdr:colOff>
      <xdr:row>9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A147A56-B137-26F3-BF58-EEC4FE62A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291" y="215555"/>
          <a:ext cx="6272316" cy="1533935"/>
        </a:xfrm>
        <a:prstGeom prst="rect">
          <a:avLst/>
        </a:prstGeom>
      </xdr:spPr>
    </xdr:pic>
    <xdr:clientData/>
  </xdr:twoCellAnchor>
  <xdr:twoCellAnchor>
    <xdr:from>
      <xdr:col>1</xdr:col>
      <xdr:colOff>32074</xdr:colOff>
      <xdr:row>43</xdr:row>
      <xdr:rowOff>23131</xdr:rowOff>
    </xdr:from>
    <xdr:to>
      <xdr:col>5</xdr:col>
      <xdr:colOff>19438</xdr:colOff>
      <xdr:row>59</xdr:row>
      <xdr:rowOff>126352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C86186-B3CE-814B-B038-E618EE87D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G67"/>
  <sheetViews>
    <sheetView showGridLines="0" tabSelected="1" zoomScale="98" zoomScaleNormal="98" workbookViewId="0">
      <selection activeCell="F12" sqref="F12"/>
    </sheetView>
  </sheetViews>
  <sheetFormatPr defaultColWidth="0" defaultRowHeight="15" x14ac:dyDescent="0.25"/>
  <cols>
    <col min="1" max="1" width="9.140625" customWidth="1"/>
    <col min="2" max="2" width="35.5703125" bestFit="1" customWidth="1"/>
    <col min="3" max="3" width="26.140625" bestFit="1" customWidth="1"/>
    <col min="4" max="4" width="21.85546875" customWidth="1"/>
    <col min="5" max="5" width="10.42578125" customWidth="1"/>
    <col min="6" max="6" width="12.7109375" bestFit="1" customWidth="1"/>
    <col min="7" max="7" width="23.85546875" hidden="1" customWidth="1"/>
    <col min="8" max="8" width="9.140625" hidden="1" customWidth="1"/>
    <col min="9" max="16384" width="9.140625" hidden="1"/>
  </cols>
  <sheetData>
    <row r="11" spans="2:5" ht="36" x14ac:dyDescent="0.25">
      <c r="B11" s="40" t="s">
        <v>10</v>
      </c>
      <c r="C11" s="41"/>
      <c r="D11" s="41"/>
      <c r="E11" s="42"/>
    </row>
    <row r="12" spans="2:5" ht="18.75" x14ac:dyDescent="0.25">
      <c r="B12" s="45" t="s">
        <v>11</v>
      </c>
      <c r="C12" s="46"/>
      <c r="D12" s="58">
        <v>1600</v>
      </c>
      <c r="E12" s="59"/>
    </row>
    <row r="13" spans="2:5" ht="18.75" x14ac:dyDescent="0.25">
      <c r="B13" s="49" t="s">
        <v>12</v>
      </c>
      <c r="C13" s="50"/>
      <c r="D13" s="53">
        <v>8.8999999999999999E-3</v>
      </c>
      <c r="E13" s="54"/>
    </row>
    <row r="14" spans="2:5" ht="18.75" x14ac:dyDescent="0.25">
      <c r="B14" s="62" t="s">
        <v>34</v>
      </c>
      <c r="C14" s="63"/>
      <c r="D14" s="60">
        <f>$D$12*30%</f>
        <v>480</v>
      </c>
      <c r="E14" s="61"/>
    </row>
    <row r="17" spans="2:5" ht="33.75" x14ac:dyDescent="0.25">
      <c r="B17" s="31" t="s">
        <v>0</v>
      </c>
      <c r="C17" s="32"/>
      <c r="D17" s="32"/>
      <c r="E17" s="33"/>
    </row>
    <row r="18" spans="2:5" ht="18.75" x14ac:dyDescent="0.25">
      <c r="B18" s="45" t="s">
        <v>5</v>
      </c>
      <c r="C18" s="46"/>
      <c r="D18" s="47">
        <v>480</v>
      </c>
      <c r="E18" s="48"/>
    </row>
    <row r="19" spans="2:5" ht="18.75" x14ac:dyDescent="0.25">
      <c r="B19" s="49" t="s">
        <v>4</v>
      </c>
      <c r="C19" s="50"/>
      <c r="D19" s="51">
        <v>2</v>
      </c>
      <c r="E19" s="52"/>
    </row>
    <row r="20" spans="2:5" ht="18.75" x14ac:dyDescent="0.25">
      <c r="B20" s="49" t="s">
        <v>1</v>
      </c>
      <c r="C20" s="50"/>
      <c r="D20" s="53">
        <v>1.0749999999999999E-2</v>
      </c>
      <c r="E20" s="54"/>
    </row>
    <row r="21" spans="2:5" ht="18.75" x14ac:dyDescent="0.25">
      <c r="B21" s="74" t="s">
        <v>2</v>
      </c>
      <c r="C21" s="75"/>
      <c r="D21" s="43">
        <f>FV(taxa_rendimento_mensal,periodo_em_anos*12,aporte*-1)</f>
        <v>13063.049589108276</v>
      </c>
      <c r="E21" s="44"/>
    </row>
    <row r="22" spans="2:5" ht="18.75" x14ac:dyDescent="0.25">
      <c r="B22" s="62" t="s">
        <v>3</v>
      </c>
      <c r="C22" s="63"/>
      <c r="D22" s="72">
        <f>D21*taxa_rendimento_mensal</f>
        <v>140.42778308291395</v>
      </c>
      <c r="E22" s="73"/>
    </row>
    <row r="25" spans="2:5" ht="26.25" x14ac:dyDescent="0.25">
      <c r="B25" s="30" t="s">
        <v>9</v>
      </c>
      <c r="C25" s="15" t="s">
        <v>36</v>
      </c>
      <c r="D25" s="68" t="s">
        <v>35</v>
      </c>
      <c r="E25" s="69"/>
    </row>
    <row r="26" spans="2:5" ht="18.75" x14ac:dyDescent="0.25">
      <c r="B26" s="16" t="s">
        <v>13</v>
      </c>
      <c r="C26" s="17">
        <f>FV(taxa_rendimento_mensal,2*12,aporte*-1)</f>
        <v>13063.049589108276</v>
      </c>
      <c r="D26" s="70">
        <f>C26*taxa_rendimento_mensal</f>
        <v>140.42778308291395</v>
      </c>
      <c r="E26" s="71"/>
    </row>
    <row r="27" spans="2:5" ht="18.75" x14ac:dyDescent="0.25">
      <c r="B27" s="18" t="s">
        <v>14</v>
      </c>
      <c r="C27" s="19">
        <f>FV(taxa_rendimento_mensal,5*12,aporte*-1)</f>
        <v>40160.928758185684</v>
      </c>
      <c r="D27" s="43">
        <f>C27*taxa_rendimento_mensal</f>
        <v>431.72998415049608</v>
      </c>
      <c r="E27" s="44"/>
    </row>
    <row r="28" spans="2:5" ht="18.75" x14ac:dyDescent="0.25">
      <c r="B28" s="18" t="s">
        <v>6</v>
      </c>
      <c r="C28" s="19">
        <f>FV(taxa_rendimento_mensal,10*12,aporte*-1)</f>
        <v>116444.10155020612</v>
      </c>
      <c r="D28" s="43">
        <f>C28*taxa_rendimento_mensal</f>
        <v>1251.7740916647158</v>
      </c>
      <c r="E28" s="44"/>
    </row>
    <row r="29" spans="2:5" ht="18.75" x14ac:dyDescent="0.25">
      <c r="B29" s="18" t="s">
        <v>7</v>
      </c>
      <c r="C29" s="19">
        <f>FV(taxa_rendimento_mensal,20*12,aporte*-1)</f>
        <v>536558.43111650227</v>
      </c>
      <c r="D29" s="43">
        <f>C29*taxa_rendimento_mensal</f>
        <v>5768.003134502399</v>
      </c>
      <c r="E29" s="44"/>
    </row>
    <row r="30" spans="2:5" ht="18.75" x14ac:dyDescent="0.25">
      <c r="B30" s="20" t="s">
        <v>8</v>
      </c>
      <c r="C30" s="21">
        <f>FV(taxa_rendimento_mensal,30*12,aporte*-1)</f>
        <v>2052273.2466998426</v>
      </c>
      <c r="D30" s="72">
        <f>C30*taxa_rendimento_mensal</f>
        <v>22061.937402023308</v>
      </c>
      <c r="E30" s="73"/>
    </row>
    <row r="33" spans="2:5" ht="19.5" x14ac:dyDescent="0.25">
      <c r="B33" s="38" t="s">
        <v>15</v>
      </c>
      <c r="C33" s="39"/>
      <c r="D33" s="76" t="s">
        <v>26</v>
      </c>
      <c r="E33" s="77"/>
    </row>
    <row r="34" spans="2:5" ht="19.5" x14ac:dyDescent="0.25">
      <c r="B34" s="36" t="s">
        <v>16</v>
      </c>
      <c r="C34" s="37"/>
      <c r="D34" s="78">
        <f>aporte</f>
        <v>480</v>
      </c>
      <c r="E34" s="79"/>
    </row>
    <row r="36" spans="2:5" ht="19.5" x14ac:dyDescent="0.25">
      <c r="B36" s="28" t="s">
        <v>17</v>
      </c>
      <c r="C36" s="29" t="s">
        <v>18</v>
      </c>
      <c r="D36" s="80" t="s">
        <v>19</v>
      </c>
      <c r="E36" s="81"/>
    </row>
    <row r="37" spans="2:5" ht="18.75" x14ac:dyDescent="0.25">
      <c r="B37" s="22" t="s">
        <v>20</v>
      </c>
      <c r="C37" s="23">
        <f>VLOOKUP($D$33&amp;"-"&amp;B37, Apoio!$A:$D,4,0)</f>
        <v>0.2</v>
      </c>
      <c r="D37" s="64">
        <f t="shared" ref="D37:D42" si="0">C37*aporte</f>
        <v>96</v>
      </c>
      <c r="E37" s="65"/>
    </row>
    <row r="38" spans="2:5" ht="18.75" x14ac:dyDescent="0.25">
      <c r="B38" s="24" t="s">
        <v>21</v>
      </c>
      <c r="C38" s="25">
        <f>VLOOKUP($D$33&amp;"-"&amp;B38, Apoio!$A:$D,4,0)</f>
        <v>0.6</v>
      </c>
      <c r="D38" s="66">
        <f t="shared" si="0"/>
        <v>288</v>
      </c>
      <c r="E38" s="67"/>
    </row>
    <row r="39" spans="2:5" ht="18.75" x14ac:dyDescent="0.25">
      <c r="B39" s="24" t="s">
        <v>22</v>
      </c>
      <c r="C39" s="25">
        <f>VLOOKUP($D$33&amp;"-"&amp;B39, Apoio!$A:$D,4,0)</f>
        <v>0.1</v>
      </c>
      <c r="D39" s="66">
        <f t="shared" si="0"/>
        <v>48</v>
      </c>
      <c r="E39" s="67"/>
    </row>
    <row r="40" spans="2:5" ht="18.75" x14ac:dyDescent="0.25">
      <c r="B40" s="24" t="s">
        <v>23</v>
      </c>
      <c r="C40" s="25">
        <f>VLOOKUP($D$33&amp;"-"&amp;B40, Apoio!$A:$D,4,0)</f>
        <v>0.1</v>
      </c>
      <c r="D40" s="66">
        <f t="shared" si="0"/>
        <v>48</v>
      </c>
      <c r="E40" s="67"/>
    </row>
    <row r="41" spans="2:5" ht="18.75" x14ac:dyDescent="0.25">
      <c r="B41" s="24" t="s">
        <v>24</v>
      </c>
      <c r="C41" s="25">
        <f>VLOOKUP($D$33&amp;"-"&amp;B41, Apoio!$A:$D,4,0)</f>
        <v>0</v>
      </c>
      <c r="D41" s="66">
        <f t="shared" si="0"/>
        <v>0</v>
      </c>
      <c r="E41" s="67"/>
    </row>
    <row r="42" spans="2:5" ht="18.75" x14ac:dyDescent="0.25">
      <c r="B42" s="26" t="s">
        <v>25</v>
      </c>
      <c r="C42" s="27">
        <f>VLOOKUP($D$33&amp;"-"&amp;B42, Apoio!$A:$D,4,0)</f>
        <v>0</v>
      </c>
      <c r="D42" s="34">
        <f t="shared" si="0"/>
        <v>0</v>
      </c>
      <c r="E42" s="35"/>
    </row>
    <row r="43" spans="2:5" ht="18.75" x14ac:dyDescent="0.25">
      <c r="B43" s="55" t="s">
        <v>27</v>
      </c>
      <c r="C43" s="56"/>
      <c r="D43" s="57">
        <f>SUM(D37:E42)</f>
        <v>480</v>
      </c>
      <c r="E43" s="57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sheetProtection sheet="1" objects="1" scenarios="1"/>
  <mergeCells count="37">
    <mergeCell ref="D39:E39"/>
    <mergeCell ref="D33:E33"/>
    <mergeCell ref="D34:E34"/>
    <mergeCell ref="D38:E38"/>
    <mergeCell ref="D36:E36"/>
    <mergeCell ref="B43:C43"/>
    <mergeCell ref="D43:E43"/>
    <mergeCell ref="D12:E12"/>
    <mergeCell ref="D13:E13"/>
    <mergeCell ref="D14:E14"/>
    <mergeCell ref="B22:C22"/>
    <mergeCell ref="B12:C12"/>
    <mergeCell ref="B13:C13"/>
    <mergeCell ref="B14:C14"/>
    <mergeCell ref="D37:E37"/>
    <mergeCell ref="D40:E40"/>
    <mergeCell ref="D41:E41"/>
    <mergeCell ref="D25:E25"/>
    <mergeCell ref="D26:E26"/>
    <mergeCell ref="D22:E22"/>
    <mergeCell ref="B21:C21"/>
    <mergeCell ref="B17:E17"/>
    <mergeCell ref="D42:E42"/>
    <mergeCell ref="B34:C34"/>
    <mergeCell ref="B33:C33"/>
    <mergeCell ref="B11:E11"/>
    <mergeCell ref="D21:E21"/>
    <mergeCell ref="B18:C18"/>
    <mergeCell ref="D27:E27"/>
    <mergeCell ref="D28:E28"/>
    <mergeCell ref="D18:E18"/>
    <mergeCell ref="B19:C19"/>
    <mergeCell ref="B20:C20"/>
    <mergeCell ref="D19:E19"/>
    <mergeCell ref="D20:E20"/>
    <mergeCell ref="D29:E29"/>
    <mergeCell ref="D30:E30"/>
  </mergeCells>
  <dataValidations count="1">
    <dataValidation type="list" allowBlank="1" showInputMessage="1" showErrorMessage="1" sqref="D33" xr:uid="{75BC8BBF-CD73-4C53-929C-0616C66E55A1}">
      <formula1>"Conservador, Moderado, 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7C6D-7569-4BDA-A550-A3742CB68600}">
  <dimension ref="A2:D20"/>
  <sheetViews>
    <sheetView workbookViewId="0">
      <selection activeCell="D5" sqref="D5"/>
    </sheetView>
  </sheetViews>
  <sheetFormatPr defaultRowHeight="15" x14ac:dyDescent="0.25"/>
  <cols>
    <col min="1" max="1" width="30.85546875" customWidth="1"/>
    <col min="2" max="2" width="17.5703125" customWidth="1"/>
    <col min="3" max="3" width="19.5703125" customWidth="1"/>
    <col min="6" max="6" width="16" bestFit="1" customWidth="1"/>
  </cols>
  <sheetData>
    <row r="2" spans="1:4" ht="15.75" x14ac:dyDescent="0.25">
      <c r="A2" s="1" t="s">
        <v>31</v>
      </c>
      <c r="B2" s="2" t="s">
        <v>29</v>
      </c>
      <c r="C2" s="2" t="s">
        <v>28</v>
      </c>
      <c r="D2" s="3" t="s">
        <v>30</v>
      </c>
    </row>
    <row r="3" spans="1:4" x14ac:dyDescent="0.25">
      <c r="A3" s="9" t="str">
        <f>B3&amp;"-"&amp;C3</f>
        <v>Conservador-Papel</v>
      </c>
      <c r="B3" s="4" t="s">
        <v>26</v>
      </c>
      <c r="C3" s="4" t="s">
        <v>20</v>
      </c>
      <c r="D3" s="5">
        <v>0.2</v>
      </c>
    </row>
    <row r="4" spans="1:4" x14ac:dyDescent="0.25">
      <c r="A4" s="9" t="str">
        <f t="shared" ref="A4:A20" si="0">B4&amp;"-"&amp;C4</f>
        <v>Conservador-Tijolo</v>
      </c>
      <c r="B4" s="4" t="s">
        <v>26</v>
      </c>
      <c r="C4" s="4" t="s">
        <v>21</v>
      </c>
      <c r="D4" s="5">
        <v>0.6</v>
      </c>
    </row>
    <row r="5" spans="1:4" x14ac:dyDescent="0.25">
      <c r="A5" s="9" t="str">
        <f t="shared" si="0"/>
        <v>Conservador-Híbridos</v>
      </c>
      <c r="B5" s="4" t="s">
        <v>26</v>
      </c>
      <c r="C5" s="4" t="s">
        <v>22</v>
      </c>
      <c r="D5" s="5">
        <v>0.1</v>
      </c>
    </row>
    <row r="6" spans="1:4" x14ac:dyDescent="0.25">
      <c r="A6" s="9" t="str">
        <f t="shared" si="0"/>
        <v>Conservador-FOFs</v>
      </c>
      <c r="B6" s="4" t="s">
        <v>26</v>
      </c>
      <c r="C6" s="4" t="s">
        <v>23</v>
      </c>
      <c r="D6" s="5">
        <v>0.1</v>
      </c>
    </row>
    <row r="7" spans="1:4" x14ac:dyDescent="0.25">
      <c r="A7" s="9" t="str">
        <f t="shared" si="0"/>
        <v>Conservador-Desenvolvimento</v>
      </c>
      <c r="B7" s="4" t="s">
        <v>26</v>
      </c>
      <c r="C7" s="4" t="s">
        <v>24</v>
      </c>
      <c r="D7" s="5">
        <v>0</v>
      </c>
    </row>
    <row r="8" spans="1:4" x14ac:dyDescent="0.25">
      <c r="A8" s="10" t="str">
        <f t="shared" si="0"/>
        <v>Conservador-Hotelarias</v>
      </c>
      <c r="B8" s="7" t="s">
        <v>26</v>
      </c>
      <c r="C8" s="7" t="s">
        <v>25</v>
      </c>
      <c r="D8" s="8">
        <v>0</v>
      </c>
    </row>
    <row r="9" spans="1:4" x14ac:dyDescent="0.25">
      <c r="A9" s="9" t="str">
        <f t="shared" si="0"/>
        <v>Moderado-Papel</v>
      </c>
      <c r="B9" s="4" t="s">
        <v>32</v>
      </c>
      <c r="C9" s="4" t="s">
        <v>20</v>
      </c>
      <c r="D9" s="12">
        <v>0.3</v>
      </c>
    </row>
    <row r="10" spans="1:4" x14ac:dyDescent="0.25">
      <c r="A10" s="9" t="str">
        <f t="shared" si="0"/>
        <v>Moderado-Tijolo</v>
      </c>
      <c r="B10" s="4" t="s">
        <v>32</v>
      </c>
      <c r="C10" s="4" t="s">
        <v>21</v>
      </c>
      <c r="D10" s="12">
        <v>0.45</v>
      </c>
    </row>
    <row r="11" spans="1:4" x14ac:dyDescent="0.25">
      <c r="A11" s="9" t="str">
        <f t="shared" si="0"/>
        <v>Moderado-Híbridos</v>
      </c>
      <c r="B11" s="4" t="s">
        <v>32</v>
      </c>
      <c r="C11" s="4" t="s">
        <v>22</v>
      </c>
      <c r="D11" s="12">
        <v>0.1</v>
      </c>
    </row>
    <row r="12" spans="1:4" x14ac:dyDescent="0.25">
      <c r="A12" s="9" t="str">
        <f t="shared" si="0"/>
        <v>Moderado-FOFs</v>
      </c>
      <c r="B12" s="4" t="s">
        <v>32</v>
      </c>
      <c r="C12" s="4" t="s">
        <v>23</v>
      </c>
      <c r="D12" s="12">
        <v>0.05</v>
      </c>
    </row>
    <row r="13" spans="1:4" x14ac:dyDescent="0.25">
      <c r="A13" s="9" t="str">
        <f t="shared" si="0"/>
        <v>Moderado-Desenvolvimento</v>
      </c>
      <c r="B13" s="4" t="s">
        <v>32</v>
      </c>
      <c r="C13" s="4" t="s">
        <v>24</v>
      </c>
      <c r="D13" s="12">
        <v>0.05</v>
      </c>
    </row>
    <row r="14" spans="1:4" x14ac:dyDescent="0.25">
      <c r="A14" s="10" t="str">
        <f t="shared" si="0"/>
        <v>Moderado-Hotelarias</v>
      </c>
      <c r="B14" s="7" t="s">
        <v>32</v>
      </c>
      <c r="C14" s="7" t="s">
        <v>25</v>
      </c>
      <c r="D14" s="13">
        <v>0.05</v>
      </c>
    </row>
    <row r="15" spans="1:4" x14ac:dyDescent="0.25">
      <c r="A15" s="9" t="str">
        <f t="shared" si="0"/>
        <v>Agressivo-Papel</v>
      </c>
      <c r="B15" s="4" t="s">
        <v>33</v>
      </c>
      <c r="C15" s="4" t="s">
        <v>20</v>
      </c>
      <c r="D15" s="12">
        <v>0.4</v>
      </c>
    </row>
    <row r="16" spans="1:4" x14ac:dyDescent="0.25">
      <c r="A16" s="9" t="str">
        <f t="shared" si="0"/>
        <v>Agressivo-Tijolo</v>
      </c>
      <c r="B16" s="4" t="s">
        <v>33</v>
      </c>
      <c r="C16" s="4" t="s">
        <v>21</v>
      </c>
      <c r="D16" s="12">
        <v>0.25</v>
      </c>
    </row>
    <row r="17" spans="1:4" x14ac:dyDescent="0.25">
      <c r="A17" s="9" t="str">
        <f t="shared" si="0"/>
        <v>Agressivo-Híbridos</v>
      </c>
      <c r="B17" s="4" t="s">
        <v>33</v>
      </c>
      <c r="C17" s="4" t="s">
        <v>22</v>
      </c>
      <c r="D17" s="12">
        <v>0.05</v>
      </c>
    </row>
    <row r="18" spans="1:4" x14ac:dyDescent="0.25">
      <c r="A18" s="9" t="str">
        <f t="shared" si="0"/>
        <v>Agressivo-FOFs</v>
      </c>
      <c r="B18" s="4" t="s">
        <v>33</v>
      </c>
      <c r="C18" s="4" t="s">
        <v>23</v>
      </c>
      <c r="D18" s="12">
        <v>0.05</v>
      </c>
    </row>
    <row r="19" spans="1:4" x14ac:dyDescent="0.25">
      <c r="A19" s="9" t="str">
        <f t="shared" si="0"/>
        <v>Agressivo-Desenvolvimento</v>
      </c>
      <c r="B19" s="4" t="s">
        <v>33</v>
      </c>
      <c r="C19" s="4" t="s">
        <v>24</v>
      </c>
      <c r="D19" s="12">
        <v>0.15</v>
      </c>
    </row>
    <row r="20" spans="1:4" x14ac:dyDescent="0.25">
      <c r="A20" s="11" t="str">
        <f t="shared" si="0"/>
        <v>Agressivo-Hotelarias</v>
      </c>
      <c r="B20" s="6" t="s">
        <v>33</v>
      </c>
      <c r="C20" s="6" t="s">
        <v>25</v>
      </c>
      <c r="D20" s="14">
        <v>0.1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capital_invest</vt:lpstr>
      <vt:lpstr>Apoio</vt:lpstr>
      <vt:lpstr>aporte</vt:lpstr>
      <vt:lpstr>periodo_em_anos</vt:lpstr>
      <vt:lpstr>qnt_quero_investir</vt:lpstr>
      <vt:lpstr>rendimento_carteira</vt:lpstr>
      <vt:lpstr>sugestao_aporte</vt:lpstr>
      <vt:lpstr>sugestao_investimento</vt:lpstr>
      <vt:lpstr>taxa_rendimento_mensal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Kay Z1</cp:lastModifiedBy>
  <cp:lastPrinted>2026-10-06T15:36:48Z</cp:lastPrinted>
  <dcterms:created xsi:type="dcterms:W3CDTF">2015-06-05T18:19:34Z</dcterms:created>
  <dcterms:modified xsi:type="dcterms:W3CDTF">2026-10-06T18:50:01Z</dcterms:modified>
</cp:coreProperties>
</file>